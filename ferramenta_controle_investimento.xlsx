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5B5495C9-1101-41B6-93B4-12AC2CD93031}" xr6:coauthVersionLast="47" xr6:coauthVersionMax="47" xr10:uidLastSave="{00000000-0000-0000-0000-000000000000}"/>
  <bookViews>
    <workbookView xWindow="-120" yWindow="-120" windowWidth="15600" windowHeight="11160" xr2:uid="{AB7E2831-0382-44AE-B0F7-68B69C643474}"/>
  </bookViews>
  <sheets>
    <sheet name="Investimento_controle" sheetId="1" r:id="rId1"/>
    <sheet name="Planilha2" sheetId="2" r:id="rId2"/>
  </sheets>
  <definedNames>
    <definedName name="aporte">Investimento_controle!$D$17</definedName>
    <definedName name="qtde_anos">Investimento_controle!$D$18</definedName>
    <definedName name="rendimento_carteira">Investimento_controle!$D$13</definedName>
    <definedName name="salario">Investimento_controle!$D$12</definedName>
    <definedName name="sugestao_investimento">Investimento_controle!$D$14</definedName>
    <definedName name="taxa_mensal">Investimento_controle!$D$19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" i="1" l="1"/>
  <c r="C38" i="1"/>
  <c r="D38" i="1" s="1"/>
  <c r="C39" i="1"/>
  <c r="D39" i="1" s="1"/>
  <c r="C40" i="1"/>
  <c r="D40" i="1" s="1"/>
  <c r="C41" i="1"/>
  <c r="D41" i="1" s="1"/>
  <c r="C36" i="1"/>
  <c r="D36" i="1" s="1"/>
  <c r="D37" i="1"/>
  <c r="A10" i="2"/>
  <c r="A11" i="2"/>
  <c r="A12" i="2"/>
  <c r="A13" i="2"/>
  <c r="A14" i="2"/>
  <c r="A15" i="2"/>
  <c r="A16" i="2"/>
  <c r="A17" i="2"/>
  <c r="A18" i="2"/>
  <c r="A19" i="2"/>
  <c r="A20" i="2"/>
  <c r="A9" i="2"/>
  <c r="A4" i="2"/>
  <c r="A5" i="2"/>
  <c r="A6" i="2"/>
  <c r="A7" i="2"/>
  <c r="A8" i="2"/>
  <c r="A3" i="2"/>
  <c r="C33" i="1"/>
  <c r="D25" i="1"/>
  <c r="D26" i="1"/>
  <c r="D27" i="1"/>
  <c r="D28" i="1"/>
  <c r="D24" i="1"/>
  <c r="C25" i="1"/>
  <c r="C26" i="1"/>
  <c r="C27" i="1"/>
  <c r="C28" i="1"/>
  <c r="C24" i="1"/>
  <c r="D20" i="1"/>
  <c r="D21" i="1" s="1"/>
  <c r="D42" i="1" l="1"/>
</calcChain>
</file>

<file path=xl/sharedStrings.xml><?xml version="1.0" encoding="utf-8"?>
<sst xmlns="http://schemas.openxmlformats.org/spreadsheetml/2006/main" count="69" uniqueCount="33">
  <si>
    <t>Salário</t>
  </si>
  <si>
    <t>Rendimento Carteira</t>
  </si>
  <si>
    <t>Sugestão de Investimento ( 30% )</t>
  </si>
  <si>
    <t>CONFIGURAÇÕES</t>
  </si>
  <si>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</si>
  <si>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</si>
  <si>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</si>
  <si>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</si>
  <si>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</si>
  <si>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</si>
  <si>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CENÁRIOS</t>
  </si>
  <si>
    <t>Dividendos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</si>
  <si>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</si>
  <si>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</si>
  <si>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</si>
  <si>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</si>
  <si>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</si>
  <si>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</si>
  <si>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Conservador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</si>
  <si>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</si>
  <si>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</si>
  <si>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</si>
  <si>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</si>
  <si>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</si>
  <si>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</si>
  <si>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</si>
  <si>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FOFs</t>
  </si>
  <si>
    <t>DESENVOLVIMENTO</t>
  </si>
  <si>
    <t>HOTELARIAS</t>
  </si>
  <si>
    <t>HIBRIDO</t>
  </si>
  <si>
    <t>CHAVE</t>
  </si>
  <si>
    <t>%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</si>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</sst>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5" formatCode="&quot;R$&quot;\ 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EAEAEA"/>
      <name val="Segoe UI Semibold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sz val="20"/>
      <color theme="0"/>
      <name val="Segoe UI Semibold"/>
      <family val="2"/>
    </font>
    <font>
      <sz val="18"/>
      <color theme="0"/>
      <name val="Segoe UI Semibold"/>
      <family val="2"/>
    </font>
    <font>
      <sz val="12"/>
      <color theme="0"/>
      <name val="Segoe UI Semibold"/>
      <family val="2"/>
    </font>
    <font>
      <sz val="11"/>
      <color rgb="FF9C5700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96B2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000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/>
      <bottom style="medium">
        <color theme="0" tint="-0.24994659260841701"/>
      </bottom>
      <diagonal/>
    </border>
    <border>
      <left style="medium">
        <color theme="1"/>
      </left>
      <right/>
      <top style="medium">
        <color theme="1"/>
      </top>
      <bottom style="medium">
        <color theme="0" tint="-0.24994659260841701"/>
      </bottom>
      <diagonal/>
    </border>
    <border>
      <left style="medium">
        <color theme="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1"/>
      </right>
      <top style="thin">
        <color rgb="FFEAEAEA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1"/>
      </left>
      <right style="medium">
        <color theme="0" tint="-0.24994659260841701"/>
      </right>
      <top style="medium">
        <color theme="0" tint="-0.24994659260841701"/>
      </top>
      <bottom style="medium">
        <color theme="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1"/>
      </bottom>
      <diagonal/>
    </border>
    <border>
      <left style="medium">
        <color theme="0" tint="-0.24994659260841701"/>
      </left>
      <right style="medium">
        <color theme="1"/>
      </right>
      <top style="medium">
        <color theme="0" tint="-0.2499465926084170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0" tint="-0.24994659260841701"/>
      </bottom>
      <diagonal/>
    </border>
    <border>
      <left/>
      <right/>
      <top style="medium">
        <color theme="1"/>
      </top>
      <bottom style="medium">
        <color theme="0" tint="-0.24994659260841701"/>
      </bottom>
      <diagonal/>
    </border>
    <border>
      <left style="medium">
        <color theme="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1"/>
      </right>
      <top style="medium">
        <color theme="0" tint="-0.24994659260841701"/>
      </top>
      <bottom style="medium">
        <color theme="1"/>
      </bottom>
      <diagonal/>
    </border>
    <border>
      <left style="medium">
        <color theme="1"/>
      </left>
      <right/>
      <top style="medium">
        <color theme="0" tint="-0.24994659260841701"/>
      </top>
      <bottom style="medium">
        <color theme="1"/>
      </bottom>
      <diagonal/>
    </border>
    <border>
      <left/>
      <right/>
      <top style="medium">
        <color theme="0" tint="-0.24994659260841701"/>
      </top>
      <bottom style="medium">
        <color theme="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3" fillId="2" borderId="2" xfId="0" applyFont="1" applyFill="1" applyBorder="1"/>
    <xf numFmtId="0" fontId="3" fillId="2" borderId="3" xfId="0" applyFont="1" applyFill="1" applyBorder="1"/>
    <xf numFmtId="0" fontId="4" fillId="3" borderId="4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10" fontId="4" fillId="0" borderId="6" xfId="0" applyNumberFormat="1" applyFont="1" applyBorder="1" applyAlignment="1">
      <alignment horizontal="center"/>
    </xf>
    <xf numFmtId="0" fontId="4" fillId="3" borderId="7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left"/>
    </xf>
    <xf numFmtId="165" fontId="4" fillId="3" borderId="9" xfId="0" applyNumberFormat="1" applyFont="1" applyFill="1" applyBorder="1" applyAlignment="1">
      <alignment horizontal="center"/>
    </xf>
    <xf numFmtId="0" fontId="5" fillId="4" borderId="5" xfId="0" applyFont="1" applyFill="1" applyBorder="1" applyAlignment="1">
      <alignment horizontal="left"/>
    </xf>
    <xf numFmtId="0" fontId="4" fillId="3" borderId="10" xfId="0" applyFont="1" applyFill="1" applyBorder="1" applyAlignment="1">
      <alignment horizontal="left"/>
    </xf>
    <xf numFmtId="0" fontId="4" fillId="3" borderId="11" xfId="0" applyFont="1" applyFill="1" applyBorder="1" applyAlignment="1">
      <alignment horizontal="left"/>
    </xf>
    <xf numFmtId="165" fontId="4" fillId="0" borderId="12" xfId="0" applyNumberFormat="1" applyFont="1" applyBorder="1" applyAlignment="1">
      <alignment horizontal="center"/>
    </xf>
    <xf numFmtId="0" fontId="4" fillId="3" borderId="14" xfId="0" applyFont="1" applyFill="1" applyBorder="1" applyAlignment="1">
      <alignment horizontal="left"/>
    </xf>
    <xf numFmtId="165" fontId="4" fillId="0" borderId="15" xfId="0" applyNumberFormat="1" applyFont="1" applyBorder="1" applyAlignment="1">
      <alignment horizontal="center"/>
    </xf>
    <xf numFmtId="0" fontId="4" fillId="0" borderId="16" xfId="0" applyNumberFormat="1" applyFont="1" applyBorder="1" applyAlignment="1">
      <alignment horizontal="center"/>
    </xf>
    <xf numFmtId="10" fontId="4" fillId="0" borderId="16" xfId="0" applyNumberFormat="1" applyFont="1" applyBorder="1" applyAlignment="1">
      <alignment horizontal="center"/>
    </xf>
    <xf numFmtId="0" fontId="5" fillId="4" borderId="14" xfId="0" applyFont="1" applyFill="1" applyBorder="1" applyAlignment="1">
      <alignment horizontal="left"/>
    </xf>
    <xf numFmtId="0" fontId="5" fillId="4" borderId="17" xfId="0" applyFont="1" applyFill="1" applyBorder="1" applyAlignment="1">
      <alignment horizontal="left"/>
    </xf>
    <xf numFmtId="0" fontId="5" fillId="4" borderId="18" xfId="0" applyFont="1" applyFill="1" applyBorder="1" applyAlignment="1">
      <alignment horizontal="left"/>
    </xf>
    <xf numFmtId="0" fontId="6" fillId="5" borderId="13" xfId="0" applyFont="1" applyFill="1" applyBorder="1" applyAlignment="1">
      <alignment horizontal="center"/>
    </xf>
    <xf numFmtId="0" fontId="6" fillId="5" borderId="21" xfId="0" applyFont="1" applyFill="1" applyBorder="1" applyAlignment="1">
      <alignment horizontal="center"/>
    </xf>
    <xf numFmtId="0" fontId="6" fillId="5" borderId="2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right" vertical="center"/>
    </xf>
    <xf numFmtId="8" fontId="4" fillId="0" borderId="16" xfId="0" applyNumberFormat="1" applyFont="1" applyBorder="1" applyAlignment="1">
      <alignment horizontal="center"/>
    </xf>
    <xf numFmtId="8" fontId="4" fillId="0" borderId="19" xfId="0" applyNumberFormat="1" applyFont="1" applyBorder="1" applyAlignment="1">
      <alignment horizontal="center"/>
    </xf>
    <xf numFmtId="0" fontId="8" fillId="5" borderId="20" xfId="0" applyFont="1" applyFill="1" applyBorder="1" applyAlignment="1"/>
    <xf numFmtId="0" fontId="4" fillId="4" borderId="22" xfId="0" applyFont="1" applyFill="1" applyBorder="1" applyAlignment="1"/>
    <xf numFmtId="0" fontId="4" fillId="4" borderId="25" xfId="0" applyFont="1" applyFill="1" applyBorder="1" applyAlignment="1"/>
    <xf numFmtId="0" fontId="2" fillId="0" borderId="0" xfId="0" applyFont="1"/>
    <xf numFmtId="8" fontId="4" fillId="4" borderId="27" xfId="0" applyNumberFormat="1" applyFont="1" applyFill="1" applyBorder="1" applyAlignment="1"/>
    <xf numFmtId="8" fontId="4" fillId="4" borderId="23" xfId="0" applyNumberFormat="1" applyFont="1" applyFill="1" applyBorder="1" applyAlignment="1"/>
    <xf numFmtId="8" fontId="4" fillId="4" borderId="26" xfId="0" applyNumberFormat="1" applyFont="1" applyFill="1" applyBorder="1" applyAlignment="1"/>
    <xf numFmtId="8" fontId="4" fillId="4" borderId="24" xfId="0" applyNumberFormat="1" applyFont="1" applyFill="1" applyBorder="1" applyAlignment="1"/>
    <xf numFmtId="0" fontId="9" fillId="6" borderId="0" xfId="0" applyFont="1" applyFill="1"/>
    <xf numFmtId="0" fontId="10" fillId="3" borderId="0" xfId="0" applyFont="1" applyFill="1"/>
    <xf numFmtId="0" fontId="9" fillId="6" borderId="0" xfId="0" applyFont="1" applyFill="1" applyAlignment="1">
      <alignment horizontal="center"/>
    </xf>
    <xf numFmtId="165" fontId="10" fillId="3" borderId="0" xfId="0" applyNumberFormat="1" applyFont="1" applyFill="1" applyAlignment="1">
      <alignment horizontal="center"/>
    </xf>
    <xf numFmtId="0" fontId="11" fillId="0" borderId="0" xfId="0" applyFont="1"/>
    <xf numFmtId="0" fontId="10" fillId="7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165" fontId="11" fillId="0" borderId="0" xfId="0" applyNumberFormat="1" applyFont="1" applyAlignment="1">
      <alignment horizontal="center"/>
    </xf>
    <xf numFmtId="165" fontId="10" fillId="7" borderId="0" xfId="0" applyNumberFormat="1" applyFont="1" applyFill="1" applyAlignment="1">
      <alignment horizontal="center"/>
    </xf>
    <xf numFmtId="0" fontId="12" fillId="8" borderId="0" xfId="0" applyFont="1" applyFill="1" applyAlignment="1">
      <alignment horizontal="left"/>
    </xf>
    <xf numFmtId="0" fontId="11" fillId="0" borderId="28" xfId="0" applyFont="1" applyBorder="1"/>
    <xf numFmtId="0" fontId="11" fillId="0" borderId="29" xfId="0" applyFont="1" applyBorder="1"/>
    <xf numFmtId="9" fontId="11" fillId="0" borderId="30" xfId="0" applyNumberFormat="1" applyFont="1" applyBorder="1"/>
    <xf numFmtId="0" fontId="11" fillId="0" borderId="31" xfId="0" applyFont="1" applyBorder="1"/>
    <xf numFmtId="0" fontId="11" fillId="0" borderId="0" xfId="0" applyFont="1" applyBorder="1"/>
    <xf numFmtId="9" fontId="11" fillId="0" borderId="32" xfId="0" applyNumberFormat="1" applyFont="1" applyBorder="1"/>
    <xf numFmtId="0" fontId="11" fillId="0" borderId="33" xfId="0" applyFont="1" applyBorder="1"/>
    <xf numFmtId="0" fontId="11" fillId="0" borderId="34" xfId="0" applyFont="1" applyBorder="1"/>
    <xf numFmtId="9" fontId="11" fillId="0" borderId="35" xfId="0" applyNumberFormat="1" applyFont="1" applyBorder="1"/>
    <xf numFmtId="9" fontId="11" fillId="0" borderId="0" xfId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000000"/>
      <color rgb="FF9C5700"/>
      <color rgb="FFFFEB9C"/>
      <color rgb="FFEAEAEA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Investimento_controle!$B$36:$B$41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Investimento_controle!$C$36:$C$41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E-47A3-AF71-964E50FCC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257175</xdr:colOff>
      <xdr:row>0</xdr:row>
      <xdr:rowOff>114300</xdr:rowOff>
    </xdr:from>
    <xdr:to>
      <xdr:col>4</xdr:col>
      <xdr:colOff>250648</xdr:colOff>
      <xdr:row>8</xdr:row>
      <xdr:rowOff>146505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6164E1A-630A-4A9D-B0F7-6370377FBC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257175" y="114300"/>
          <a:ext cx="5737048" cy="1556205"/>
        </a:xfrm>
        <a:prstGeom prst="rect">
          <a:avLst/>
        </a:prstGeom>
      </xdr:spPr>
    </xdr:pic>
    <xdr:clientData/>
  </xdr:twoCellAnchor>
  <xdr:twoCellAnchor>
    <xdr:from>
      <xdr:col>1</xdr:col>
      <xdr:colOff>432956</xdr:colOff>
      <xdr:row>42</xdr:row>
      <xdr:rowOff>13855</xdr:rowOff>
    </xdr:from>
    <xdr:to>
      <xdr:col>3</xdr:col>
      <xdr:colOff>623456</xdr:colOff>
      <xdr:row>56</xdr:row>
      <xdr:rowOff>90055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FA3FB8C-EDE8-447A-3478-AF033D0A35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032D5-BBD9-46AA-91BB-73A2A29A083C}">
  <dimension ref="A10:D70"/>
  <sheetViews>
    <sheetView showGridLines="0" tabSelected="1" zoomScale="110" zoomScaleNormal="110" workbookViewId="0">
      <selection activeCell="G51" sqref="G51"/>
    </sheetView>
  </sheetViews>
  <sheetFormatPr defaultColWidth="0" defaultRowHeight="15" x14ac:dyDescent="0.25"/>
  <cols>
    <col min="1" max="1" width="5.42578125" customWidth="1"/>
    <col min="2" max="2" width="46.85546875" customWidth="1"/>
    <col min="3" max="3" width="18.85546875" bestFit="1" customWidth="1"/>
    <col min="4" max="4" width="15" customWidth="1"/>
    <col min="5" max="8" width="5" customWidth="1"/>
    <col min="9" max="16384" width="9.140625" hidden="1"/>
  </cols>
  <sheetData>
    <row r="10" spans="2:4" ht="15.75" thickBot="1" x14ac:dyDescent="0.3"/>
    <row r="11" spans="2:4" ht="26.25" x14ac:dyDescent="0.3">
      <c r="B11" s="23" t="s">
        <v>3</v>
      </c>
      <c r="C11" s="1"/>
      <c r="D11" s="2"/>
    </row>
    <row r="12" spans="2:4" ht="18" thickBot="1" x14ac:dyDescent="0.35">
      <c r="B12" s="10" t="s">
        <v>0</v>
      </c>
      <c r="C12" s="11"/>
      <c r="D12" s="12">
        <v>2000</v>
      </c>
    </row>
    <row r="13" spans="2:4" ht="18" thickBot="1" x14ac:dyDescent="0.35">
      <c r="B13" s="3" t="s">
        <v>1</v>
      </c>
      <c r="C13" s="4"/>
      <c r="D13" s="5">
        <v>6.0000000000000001E-3</v>
      </c>
    </row>
    <row r="14" spans="2:4" ht="18" thickBot="1" x14ac:dyDescent="0.35">
      <c r="B14" s="6" t="s">
        <v>2</v>
      </c>
      <c r="C14" s="7"/>
      <c r="D14" s="8">
        <v>600</v>
      </c>
    </row>
    <row r="15" spans="2:4" ht="15.75" thickBot="1" x14ac:dyDescent="0.3"/>
    <row r="16" spans="2:4" ht="31.5" thickBot="1" x14ac:dyDescent="0.6">
      <c r="B16" s="20" t="s">
        <v>4</v>
      </c>
      <c r="C16" s="21"/>
      <c r="D16" s="22"/>
    </row>
    <row r="17" spans="1:4" ht="18" thickBot="1" x14ac:dyDescent="0.35">
      <c r="B17" s="13" t="s">
        <v>5</v>
      </c>
      <c r="C17" s="4"/>
      <c r="D17" s="14">
        <v>200</v>
      </c>
    </row>
    <row r="18" spans="1:4" ht="18" thickBot="1" x14ac:dyDescent="0.35">
      <c r="B18" s="13" t="s">
        <v>6</v>
      </c>
      <c r="C18" s="4"/>
      <c r="D18" s="15">
        <v>5</v>
      </c>
    </row>
    <row r="19" spans="1:4" ht="18" thickBot="1" x14ac:dyDescent="0.35">
      <c r="B19" s="13" t="s">
        <v>7</v>
      </c>
      <c r="C19" s="4"/>
      <c r="D19" s="16">
        <v>1.0789999999999999E-2</v>
      </c>
    </row>
    <row r="20" spans="1:4" ht="18" thickBot="1" x14ac:dyDescent="0.35">
      <c r="B20" s="17" t="s">
        <v>8</v>
      </c>
      <c r="C20" s="9"/>
      <c r="D20" s="24">
        <f>FV(taxa_mensal,qtde_anos*12,aporte)*(-1)</f>
        <v>16755.382799697527</v>
      </c>
    </row>
    <row r="21" spans="1:4" ht="18" thickBot="1" x14ac:dyDescent="0.35">
      <c r="B21" s="18" t="s">
        <v>9</v>
      </c>
      <c r="C21" s="19"/>
      <c r="D21" s="25">
        <f>D20*rendimento_carteira</f>
        <v>100.53229679818516</v>
      </c>
    </row>
    <row r="22" spans="1:4" ht="15.75" thickBot="1" x14ac:dyDescent="0.3"/>
    <row r="23" spans="1:4" ht="31.5" thickBot="1" x14ac:dyDescent="0.6">
      <c r="B23" s="20" t="s">
        <v>10</v>
      </c>
      <c r="C23" s="21"/>
      <c r="D23" s="26" t="s">
        <v>11</v>
      </c>
    </row>
    <row r="24" spans="1:4" ht="18" thickBot="1" x14ac:dyDescent="0.35">
      <c r="A24" s="29">
        <v>2</v>
      </c>
      <c r="B24" s="27" t="s">
        <v>12</v>
      </c>
      <c r="C24" s="30">
        <f>FV(taxa_mensal,A24*12,aporte)*(-1)</f>
        <v>5445.5254595290435</v>
      </c>
      <c r="D24" s="31">
        <f>C24*rendimento_carteira</f>
        <v>32.673152757174265</v>
      </c>
    </row>
    <row r="25" spans="1:4" ht="18" thickBot="1" x14ac:dyDescent="0.35">
      <c r="A25" s="29">
        <v>5</v>
      </c>
      <c r="B25" s="27" t="s">
        <v>13</v>
      </c>
      <c r="C25" s="30">
        <f>FV(taxa_mensal,A25*12,aporte)*(-1)</f>
        <v>16755.382799697527</v>
      </c>
      <c r="D25" s="31">
        <f>C25*rendimento_carteira</f>
        <v>100.53229679818516</v>
      </c>
    </row>
    <row r="26" spans="1:4" ht="18" thickBot="1" x14ac:dyDescent="0.35">
      <c r="A26" s="29">
        <v>10</v>
      </c>
      <c r="B26" s="27" t="s">
        <v>14</v>
      </c>
      <c r="C26" s="30">
        <f>FV(taxa_mensal,A26*12,aporte)*(-1)</f>
        <v>48656.842506034438</v>
      </c>
      <c r="D26" s="31">
        <f>C26*rendimento_carteira</f>
        <v>291.94105503620665</v>
      </c>
    </row>
    <row r="27" spans="1:4" ht="18" thickBot="1" x14ac:dyDescent="0.35">
      <c r="A27" s="29">
        <v>20</v>
      </c>
      <c r="B27" s="27" t="s">
        <v>15</v>
      </c>
      <c r="C27" s="30">
        <f>FV(taxa_mensal,A27*12,aporte)*(-1)</f>
        <v>225039.68001941612</v>
      </c>
      <c r="D27" s="31">
        <f>C27*rendimento_carteira</f>
        <v>1350.2380801164968</v>
      </c>
    </row>
    <row r="28" spans="1:4" ht="18" thickBot="1" x14ac:dyDescent="0.35">
      <c r="A28" s="29">
        <v>30</v>
      </c>
      <c r="B28" s="28" t="s">
        <v>16</v>
      </c>
      <c r="C28" s="32">
        <f>FV(taxa_mensal,A28*12,aporte)*(-1)</f>
        <v>864433.93100094295</v>
      </c>
      <c r="D28" s="33">
        <f>C28*rendimento_carteira</f>
        <v>5186.6035860056581</v>
      </c>
    </row>
    <row r="32" spans="1:4" x14ac:dyDescent="0.25">
      <c r="B32" s="34" t="s">
        <v>17</v>
      </c>
      <c r="C32" s="36" t="s">
        <v>32</v>
      </c>
    </row>
    <row r="33" spans="2:4" x14ac:dyDescent="0.25">
      <c r="B33" s="35" t="s">
        <v>20</v>
      </c>
      <c r="C33" s="37">
        <f>aporte</f>
        <v>200</v>
      </c>
    </row>
    <row r="35" spans="2:4" x14ac:dyDescent="0.25">
      <c r="B35" s="39" t="s">
        <v>21</v>
      </c>
      <c r="C35" s="39" t="s">
        <v>22</v>
      </c>
      <c r="D35" s="39" t="s">
        <v>23</v>
      </c>
    </row>
    <row r="36" spans="2:4" x14ac:dyDescent="0.25">
      <c r="B36" s="40" t="s">
        <v>24</v>
      </c>
      <c r="C36" s="53">
        <f>VLOOKUP($C$32&amp;"-"&amp;B36,Planilha2!A:D,4,FALSE)</f>
        <v>0.32</v>
      </c>
      <c r="D36" s="41">
        <f>C36*$C$33</f>
        <v>64</v>
      </c>
    </row>
    <row r="37" spans="2:4" x14ac:dyDescent="0.25">
      <c r="B37" s="40" t="s">
        <v>25</v>
      </c>
      <c r="C37" s="53">
        <f>VLOOKUP($C$32&amp;"-"&amp;B37,Planilha2!A:D,4,FALSE)</f>
        <v>0.35</v>
      </c>
      <c r="D37" s="41">
        <f t="shared" ref="D37:D41" si="0">C37*$C$33</f>
        <v>70</v>
      </c>
    </row>
    <row r="38" spans="2:4" x14ac:dyDescent="0.25">
      <c r="B38" s="40" t="s">
        <v>29</v>
      </c>
      <c r="C38" s="53">
        <f>VLOOKUP($C$32&amp;"-"&amp;B38,Planilha2!A:D,4,FALSE)</f>
        <v>0.08</v>
      </c>
      <c r="D38" s="41">
        <f t="shared" si="0"/>
        <v>16</v>
      </c>
    </row>
    <row r="39" spans="2:4" x14ac:dyDescent="0.25">
      <c r="B39" s="40" t="s">
        <v>26</v>
      </c>
      <c r="C39" s="53">
        <f>VLOOKUP($C$32&amp;"-"&amp;B39,Planilha2!A:D,4,FALSE)</f>
        <v>0.05</v>
      </c>
      <c r="D39" s="41">
        <f t="shared" si="0"/>
        <v>10</v>
      </c>
    </row>
    <row r="40" spans="2:4" x14ac:dyDescent="0.25">
      <c r="B40" s="40" t="s">
        <v>27</v>
      </c>
      <c r="C40" s="53">
        <f>VLOOKUP($C$32&amp;"-"&amp;B40,Planilha2!A:D,4,FALSE)</f>
        <v>0.1</v>
      </c>
      <c r="D40" s="41">
        <f t="shared" si="0"/>
        <v>20</v>
      </c>
    </row>
    <row r="41" spans="2:4" x14ac:dyDescent="0.25">
      <c r="B41" s="40" t="s">
        <v>28</v>
      </c>
      <c r="C41" s="53">
        <f>VLOOKUP($C$32&amp;"-"&amp;B41,Planilha2!A:D,4,FALSE)</f>
        <v>0.1</v>
      </c>
      <c r="D41" s="41">
        <f t="shared" si="0"/>
        <v>20</v>
      </c>
    </row>
    <row r="42" spans="2:4" x14ac:dyDescent="0.25">
      <c r="B42" s="39"/>
      <c r="C42" s="39"/>
      <c r="D42" s="42">
        <f>SUM(D36:D41)</f>
        <v>200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</sheetData>
  <mergeCells count="10">
    <mergeCell ref="B20:C20"/>
    <mergeCell ref="B21:C21"/>
    <mergeCell ref="B23:C23"/>
    <mergeCell ref="B16:D16"/>
    <mergeCell ref="B12:C12"/>
    <mergeCell ref="B13:C13"/>
    <mergeCell ref="B14:C14"/>
    <mergeCell ref="B19:C19"/>
    <mergeCell ref="B17:C17"/>
    <mergeCell ref="B18:C18"/>
  </mergeCells>
  <dataValidations count="1">
    <dataValidation type="list" allowBlank="1" showInputMessage="1" showErrorMessage="1" sqref="C32" xr:uid="{9C7EEF44-200A-4639-B90F-F508EA090596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3BD06-ECF8-48BA-A582-238822ACAFDC}">
  <dimension ref="A2:D29"/>
  <sheetViews>
    <sheetView showGridLines="0" workbookViewId="0">
      <selection activeCell="D29" sqref="D29"/>
    </sheetView>
  </sheetViews>
  <sheetFormatPr defaultRowHeight="15" x14ac:dyDescent="0.25"/>
  <cols>
    <col min="1" max="1" width="29.140625" customWidth="1"/>
    <col min="2" max="2" width="12.140625" bestFit="1" customWidth="1"/>
    <col min="3" max="3" width="18.5703125" bestFit="1" customWidth="1"/>
  </cols>
  <sheetData>
    <row r="2" spans="1:4" ht="15.75" thickBot="1" x14ac:dyDescent="0.3">
      <c r="A2" s="43" t="s">
        <v>30</v>
      </c>
      <c r="B2" s="43" t="s">
        <v>17</v>
      </c>
      <c r="C2" s="43" t="s">
        <v>21</v>
      </c>
      <c r="D2" s="43" t="s">
        <v>31</v>
      </c>
    </row>
    <row r="3" spans="1:4" x14ac:dyDescent="0.25">
      <c r="A3" s="44" t="str">
        <f>B3&amp; "-"&amp;C3</f>
        <v>Conservador-PAPEL</v>
      </c>
      <c r="B3" s="45" t="s">
        <v>18</v>
      </c>
      <c r="C3" s="45" t="s">
        <v>24</v>
      </c>
      <c r="D3" s="46">
        <v>0.3</v>
      </c>
    </row>
    <row r="4" spans="1:4" x14ac:dyDescent="0.25">
      <c r="A4" s="47" t="str">
        <f t="shared" ref="A4:A20" si="0">B4&amp; "-"&amp;C4</f>
        <v>Conservador-TIJOLO</v>
      </c>
      <c r="B4" s="48" t="s">
        <v>18</v>
      </c>
      <c r="C4" s="48" t="s">
        <v>25</v>
      </c>
      <c r="D4" s="49">
        <v>0.5</v>
      </c>
    </row>
    <row r="5" spans="1:4" x14ac:dyDescent="0.25">
      <c r="A5" s="47" t="str">
        <f t="shared" si="0"/>
        <v>Conservador-HIBRIDO</v>
      </c>
      <c r="B5" s="48" t="s">
        <v>18</v>
      </c>
      <c r="C5" s="48" t="s">
        <v>29</v>
      </c>
      <c r="D5" s="49">
        <v>0.1</v>
      </c>
    </row>
    <row r="6" spans="1:4" x14ac:dyDescent="0.25">
      <c r="A6" s="47" t="str">
        <f t="shared" si="0"/>
        <v>Conservador-FOFs</v>
      </c>
      <c r="B6" s="48" t="s">
        <v>18</v>
      </c>
      <c r="C6" s="48" t="s">
        <v>26</v>
      </c>
      <c r="D6" s="49">
        <v>0.1</v>
      </c>
    </row>
    <row r="7" spans="1:4" x14ac:dyDescent="0.25">
      <c r="A7" s="47" t="str">
        <f t="shared" si="0"/>
        <v>Conservador-DESENVOLVIMENTO</v>
      </c>
      <c r="B7" s="48" t="s">
        <v>18</v>
      </c>
      <c r="C7" s="48" t="s">
        <v>27</v>
      </c>
      <c r="D7" s="49">
        <v>0</v>
      </c>
    </row>
    <row r="8" spans="1:4" ht="15.75" thickBot="1" x14ac:dyDescent="0.3">
      <c r="A8" s="50" t="str">
        <f t="shared" si="0"/>
        <v>Conservador-HOTELARIAS</v>
      </c>
      <c r="B8" s="51" t="s">
        <v>18</v>
      </c>
      <c r="C8" s="51" t="s">
        <v>28</v>
      </c>
      <c r="D8" s="52">
        <v>0</v>
      </c>
    </row>
    <row r="9" spans="1:4" x14ac:dyDescent="0.25">
      <c r="A9" s="44" t="str">
        <f t="shared" si="0"/>
        <v>Moderado-PAPEL</v>
      </c>
      <c r="B9" s="45" t="s">
        <v>32</v>
      </c>
      <c r="C9" s="45" t="s">
        <v>24</v>
      </c>
      <c r="D9" s="46">
        <v>0.32</v>
      </c>
    </row>
    <row r="10" spans="1:4" x14ac:dyDescent="0.25">
      <c r="A10" s="47" t="str">
        <f t="shared" si="0"/>
        <v>Moderado-TIJOLO</v>
      </c>
      <c r="B10" s="48" t="s">
        <v>32</v>
      </c>
      <c r="C10" s="48" t="s">
        <v>25</v>
      </c>
      <c r="D10" s="49">
        <v>0.35</v>
      </c>
    </row>
    <row r="11" spans="1:4" x14ac:dyDescent="0.25">
      <c r="A11" s="47" t="str">
        <f t="shared" si="0"/>
        <v>Moderado-HIBRIDO</v>
      </c>
      <c r="B11" s="48" t="s">
        <v>32</v>
      </c>
      <c r="C11" s="48" t="s">
        <v>29</v>
      </c>
      <c r="D11" s="49">
        <v>0.08</v>
      </c>
    </row>
    <row r="12" spans="1:4" x14ac:dyDescent="0.25">
      <c r="A12" s="47" t="str">
        <f t="shared" si="0"/>
        <v>Moderado-FOFs</v>
      </c>
      <c r="B12" s="48" t="s">
        <v>32</v>
      </c>
      <c r="C12" s="48" t="s">
        <v>26</v>
      </c>
      <c r="D12" s="49">
        <v>0.05</v>
      </c>
    </row>
    <row r="13" spans="1:4" x14ac:dyDescent="0.25">
      <c r="A13" s="47" t="str">
        <f t="shared" si="0"/>
        <v>Moderado-DESENVOLVIMENTO</v>
      </c>
      <c r="B13" s="48" t="s">
        <v>32</v>
      </c>
      <c r="C13" s="48" t="s">
        <v>27</v>
      </c>
      <c r="D13" s="49">
        <v>0.1</v>
      </c>
    </row>
    <row r="14" spans="1:4" ht="15.75" thickBot="1" x14ac:dyDescent="0.3">
      <c r="A14" s="50" t="str">
        <f t="shared" si="0"/>
        <v>Moderado-HOTELARIAS</v>
      </c>
      <c r="B14" s="51" t="s">
        <v>32</v>
      </c>
      <c r="C14" s="51" t="s">
        <v>28</v>
      </c>
      <c r="D14" s="52">
        <v>0.1</v>
      </c>
    </row>
    <row r="15" spans="1:4" x14ac:dyDescent="0.25">
      <c r="A15" s="44" t="str">
        <f t="shared" si="0"/>
        <v>Agressivo-PAPEL</v>
      </c>
      <c r="B15" s="45" t="s">
        <v>19</v>
      </c>
      <c r="C15" s="45" t="s">
        <v>24</v>
      </c>
      <c r="D15" s="46">
        <v>0.5</v>
      </c>
    </row>
    <row r="16" spans="1:4" x14ac:dyDescent="0.25">
      <c r="A16" s="47" t="str">
        <f t="shared" si="0"/>
        <v>Agressivo-TIJOLO</v>
      </c>
      <c r="B16" s="48" t="s">
        <v>19</v>
      </c>
      <c r="C16" s="48" t="s">
        <v>25</v>
      </c>
      <c r="D16" s="49">
        <v>0.1</v>
      </c>
    </row>
    <row r="17" spans="1:4" x14ac:dyDescent="0.25">
      <c r="A17" s="47" t="str">
        <f t="shared" si="0"/>
        <v>Agressivo-HIBRIDO</v>
      </c>
      <c r="B17" s="48" t="s">
        <v>19</v>
      </c>
      <c r="C17" s="48" t="s">
        <v>29</v>
      </c>
      <c r="D17" s="49">
        <v>0.05</v>
      </c>
    </row>
    <row r="18" spans="1:4" x14ac:dyDescent="0.25">
      <c r="A18" s="47" t="str">
        <f t="shared" si="0"/>
        <v>Agressivo-FOFs</v>
      </c>
      <c r="B18" s="48" t="s">
        <v>19</v>
      </c>
      <c r="C18" s="48" t="s">
        <v>26</v>
      </c>
      <c r="D18" s="49">
        <v>0.05</v>
      </c>
    </row>
    <row r="19" spans="1:4" x14ac:dyDescent="0.25">
      <c r="A19" s="47" t="str">
        <f t="shared" si="0"/>
        <v>Agressivo-DESENVOLVIMENTO</v>
      </c>
      <c r="B19" s="48" t="s">
        <v>19</v>
      </c>
      <c r="C19" s="48" t="s">
        <v>27</v>
      </c>
      <c r="D19" s="49">
        <v>0.2</v>
      </c>
    </row>
    <row r="20" spans="1:4" ht="15.75" thickBot="1" x14ac:dyDescent="0.3">
      <c r="A20" s="50" t="str">
        <f t="shared" si="0"/>
        <v>Agressivo-HOTELARIAS</v>
      </c>
      <c r="B20" s="51" t="s">
        <v>19</v>
      </c>
      <c r="C20" s="51" t="s">
        <v>28</v>
      </c>
      <c r="D20" s="52">
        <v>0.1</v>
      </c>
    </row>
    <row r="21" spans="1:4" x14ac:dyDescent="0.25">
      <c r="A21" s="38"/>
      <c r="B21" s="38"/>
      <c r="C21" s="38"/>
      <c r="D21" s="38"/>
    </row>
    <row r="22" spans="1:4" x14ac:dyDescent="0.25">
      <c r="A22" s="38"/>
      <c r="B22" s="38"/>
      <c r="C22" s="38"/>
      <c r="D22" s="38"/>
    </row>
    <row r="23" spans="1:4" x14ac:dyDescent="0.25">
      <c r="A23" s="38"/>
      <c r="B23" s="38"/>
      <c r="C23" s="38"/>
      <c r="D23" s="38"/>
    </row>
    <row r="24" spans="1:4" x14ac:dyDescent="0.25">
      <c r="A24" s="38"/>
      <c r="B24" s="38"/>
      <c r="C24" s="38"/>
      <c r="D24" s="38"/>
    </row>
    <row r="25" spans="1:4" x14ac:dyDescent="0.25">
      <c r="A25" s="38"/>
      <c r="B25" s="38"/>
      <c r="C25" s="38"/>
      <c r="D25" s="38"/>
    </row>
    <row r="26" spans="1:4" x14ac:dyDescent="0.25">
      <c r="A26" s="38"/>
      <c r="B26" s="38"/>
      <c r="C26" s="38"/>
      <c r="D26" s="38"/>
    </row>
    <row r="27" spans="1:4" x14ac:dyDescent="0.25">
      <c r="A27" s="38"/>
      <c r="B27" s="38"/>
      <c r="C27" s="38"/>
      <c r="D27" s="38"/>
    </row>
    <row r="28" spans="1:4" x14ac:dyDescent="0.25">
      <c r="A28" s="38"/>
      <c r="B28" s="38"/>
      <c r="C28" s="38"/>
      <c r="D28" s="38"/>
    </row>
    <row r="29" spans="1:4" x14ac:dyDescent="0.25">
      <c r="A29" s="38"/>
      <c r="B29" s="38"/>
      <c r="C29" s="38"/>
      <c r="D29" s="3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Investimento_controle</vt:lpstr>
      <vt:lpstr>Planilha2</vt:lpstr>
      <vt:lpstr>aporte</vt:lpstr>
      <vt:lpstr>qtde_anos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2026-10-10T20:00:21Z</dcterms:created>
  <dcterms:modified xsi:type="dcterms:W3CDTF">2026-10-10T21:27:46Z</dcterms:modified>
</cp:coreProperties>
</file>